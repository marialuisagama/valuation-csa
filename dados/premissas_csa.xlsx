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lug\Downloads\"/>
    </mc:Choice>
  </mc:AlternateContent>
  <xr:revisionPtr revIDLastSave="0" documentId="8_{973C233A-AFCC-4CA4-8450-D7B7AD990E92}" xr6:coauthVersionLast="47" xr6:coauthVersionMax="47" xr10:uidLastSave="{00000000-0000-0000-0000-000000000000}"/>
  <bookViews>
    <workbookView xWindow="-90" yWindow="0" windowWidth="9780" windowHeight="11370" xr2:uid="{00000000-000D-0000-FFFF-FFFF00000000}"/>
  </bookViews>
  <sheets>
    <sheet name="premiss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</calcChain>
</file>

<file path=xl/sharedStrings.xml><?xml version="1.0" encoding="utf-8"?>
<sst xmlns="http://schemas.openxmlformats.org/spreadsheetml/2006/main" count="332" uniqueCount="195">
  <si>
    <t>premissa</t>
  </si>
  <si>
    <t>valor</t>
  </si>
  <si>
    <t>unidade</t>
  </si>
  <si>
    <t>fonte</t>
  </si>
  <si>
    <t>pagina</t>
  </si>
  <si>
    <t>observacao</t>
  </si>
  <si>
    <t>prazo_concessao</t>
  </si>
  <si>
    <t>anos</t>
  </si>
  <si>
    <t>Plano de Negócios BNDES (PwC, set/2020)</t>
  </si>
  <si>
    <t>7</t>
  </si>
  <si>
    <t>ano_inicio</t>
  </si>
  <si>
    <t>ano</t>
  </si>
  <si>
    <t>ano 1 = 2021</t>
  </si>
  <si>
    <t>numero_municipios</t>
  </si>
  <si>
    <t>municípios</t>
  </si>
  <si>
    <t>Ministério das Cidades, ficha do projeto</t>
  </si>
  <si>
    <t>outorga_referencial</t>
  </si>
  <si>
    <t>R$</t>
  </si>
  <si>
    <t>30</t>
  </si>
  <si>
    <t>valor usado no plano (DRE, ano 1)</t>
  </si>
  <si>
    <t>outorga_paga</t>
  </si>
  <si>
    <t>ConectAmapá (notícia)</t>
  </si>
  <si>
    <t>CONFIRMAR em fonte primária (resultado do leilão)</t>
  </si>
  <si>
    <t>consumo_inicial</t>
  </si>
  <si>
    <t>m³/mês por economia</t>
  </si>
  <si>
    <t>12</t>
  </si>
  <si>
    <t>Macapá e Santana</t>
  </si>
  <si>
    <t>consumo_final</t>
  </si>
  <si>
    <t>atingido em 3 anos</t>
  </si>
  <si>
    <t>anos_convergencia_consumo</t>
  </si>
  <si>
    <t>participacao_residencial</t>
  </si>
  <si>
    <t>% das economias</t>
  </si>
  <si>
    <t>8</t>
  </si>
  <si>
    <t>mantida constante</t>
  </si>
  <si>
    <t>participacao_comercial</t>
  </si>
  <si>
    <t>participacao_industrial</t>
  </si>
  <si>
    <t>participacao_publica</t>
  </si>
  <si>
    <t>participacao_social</t>
  </si>
  <si>
    <t>% das economias residenciais</t>
  </si>
  <si>
    <t>base_precos_tarifa</t>
  </si>
  <si>
    <t>13</t>
  </si>
  <si>
    <t>tabela CAESA de jun/2019</t>
  </si>
  <si>
    <t>cota_minima</t>
  </si>
  <si>
    <t>m³/mês</t>
  </si>
  <si>
    <t>residencial R1, consumidor medido</t>
  </si>
  <si>
    <t>tarifa_minima_residencial</t>
  </si>
  <si>
    <t>R$/mês</t>
  </si>
  <si>
    <t>cobre até 10 m³</t>
  </si>
  <si>
    <t>tarifa_excesso_11_20</t>
  </si>
  <si>
    <t>R$/m³</t>
  </si>
  <si>
    <t>residencial R1</t>
  </si>
  <si>
    <t>tarifa_excesso_21_30</t>
  </si>
  <si>
    <t>tarifa_social_mensal</t>
  </si>
  <si>
    <t>cota de 25 m³, não medido</t>
  </si>
  <si>
    <t>tarifa_ref_residencial_0_10</t>
  </si>
  <si>
    <t>Contrato, Anexo VI (Estrutura Tarifária)</t>
  </si>
  <si>
    <t>3</t>
  </si>
  <si>
    <t>tarifa de referência do edital, antes do desconto do leilão</t>
  </si>
  <si>
    <t>tarifa_ref_residencial_11_20</t>
  </si>
  <si>
    <t>tarifa_ref_residencial_21_30</t>
  </si>
  <si>
    <t>tarifa_ref_residencial_nao_medido</t>
  </si>
  <si>
    <t>cota estimada de 25 m³</t>
  </si>
  <si>
    <t>tarifa_ref_social_0_10</t>
  </si>
  <si>
    <t>desconto_tarifa_leilao</t>
  </si>
  <si>
    <t>% sobre a tarifa de referência</t>
  </si>
  <si>
    <t>Resultado do leilão</t>
  </si>
  <si>
    <t>A PREENCHER: critério do leilão era desconto na tarifa (Anexo VI, p.1)</t>
  </si>
  <si>
    <t>aumento_tarifa_residencial</t>
  </si>
  <si>
    <t>%</t>
  </si>
  <si>
    <t>1</t>
  </si>
  <si>
    <t>Plano de Negócios (p.13) dizia 71,58%; contrato prevalece</t>
  </si>
  <si>
    <t>aumento_tarifa_demais</t>
  </si>
  <si>
    <t>Plano de Negócios (p.13) dizia 88,74%; contrato prevalece</t>
  </si>
  <si>
    <t>tarifa_esgoto_sobre_agua</t>
  </si>
  <si>
    <t>% da tarifa de água</t>
  </si>
  <si>
    <t>tarifa de referência; na CAESA era 75%</t>
  </si>
  <si>
    <t>receita_indireta_inicial</t>
  </si>
  <si>
    <t>% da receita de água e esgoto</t>
  </si>
  <si>
    <t>14</t>
  </si>
  <si>
    <t>receita_indireta_final</t>
  </si>
  <si>
    <t>atingido no ano 5</t>
  </si>
  <si>
    <t>pis</t>
  </si>
  <si>
    <t>% da receita bruta</t>
  </si>
  <si>
    <t>15</t>
  </si>
  <si>
    <t>cofins</t>
  </si>
  <si>
    <t>ir_csll</t>
  </si>
  <si>
    <t>% do lucro tributável</t>
  </si>
  <si>
    <t>29</t>
  </si>
  <si>
    <t>25% IRPJ + 9% CSLL</t>
  </si>
  <si>
    <t>capex_total</t>
  </si>
  <si>
    <t>ao longo de 35 anos</t>
  </si>
  <si>
    <t>capex_5_primeiros_anos</t>
  </si>
  <si>
    <t>capex_esgoto</t>
  </si>
  <si>
    <t>alavancagem</t>
  </si>
  <si>
    <t>% dívida / investimento</t>
  </si>
  <si>
    <t>28</t>
  </si>
  <si>
    <t>média das tranches</t>
  </si>
  <si>
    <t>icsd_minimo</t>
  </si>
  <si>
    <t>x</t>
  </si>
  <si>
    <t>exigência dos financiadores</t>
  </si>
  <si>
    <t>juro_real_livre_risco</t>
  </si>
  <si>
    <t>% a.a. real</t>
  </si>
  <si>
    <t>InvestNews (Tesouro IPCA+ 2050, 25/09/2026)</t>
  </si>
  <si>
    <t>atualizar na data da análise</t>
  </si>
  <si>
    <t>taxa_real_exigida_kinea</t>
  </si>
  <si>
    <t>Kinea, oferta Equity Infra II</t>
  </si>
  <si>
    <t>faixa divulgada: IPCA + 15-20%; usando o piso</t>
  </si>
  <si>
    <t>ipca_longo_prazo</t>
  </si>
  <si>
    <t>% a.a.</t>
  </si>
  <si>
    <t>premissa do plano; atualizar com o Focus</t>
  </si>
  <si>
    <t>opex_por_economia</t>
  </si>
  <si>
    <t>R$/ano por economia de água</t>
  </si>
  <si>
    <t>Equatorial, planilha de fundamentos 2T26</t>
  </si>
  <si>
    <t>aba DRE CSA</t>
  </si>
  <si>
    <t>2025: pessoal+material+terceiros+outros = R$ 65,6 mi / ~98 mil economias</t>
  </si>
  <si>
    <t>divida_liquida_atual</t>
  </si>
  <si>
    <t>aba BP CSA</t>
  </si>
  <si>
    <t>2T26: dívida bruta R$ 1.422 mi - caixa e aplicações R$ 8,5 mi</t>
  </si>
  <si>
    <t>capex_realizado_ate_2025</t>
  </si>
  <si>
    <t>soma da receita de construção 2T22-4T25 (proxy de capex)</t>
  </si>
  <si>
    <t>custo_real_debenture</t>
  </si>
  <si>
    <t>% a.a. real (IPCA +)</t>
  </si>
  <si>
    <t>aba Dívida Detalhada</t>
  </si>
  <si>
    <t>debêntures R$ 1,29 bi, vencimento 2052</t>
  </si>
  <si>
    <t>cobertura_agua_2T26</t>
  </si>
  <si>
    <t>aba Operacional Saneamento</t>
  </si>
  <si>
    <t>plano previa 84% no ano 6</t>
  </si>
  <si>
    <t>cobertura_esgoto_2T26</t>
  </si>
  <si>
    <t>plano previa 36% no ano 6</t>
  </si>
  <si>
    <t>perdas_2T26</t>
  </si>
  <si>
    <t>plano: de 70% para 30%</t>
  </si>
  <si>
    <t>economias_agua_2T26</t>
  </si>
  <si>
    <t>economias</t>
  </si>
  <si>
    <t>caindo desde 99,6 mil no 2T25</t>
  </si>
  <si>
    <t>economias_esgoto_2T26</t>
  </si>
  <si>
    <t>receita_servico_2024</t>
  </si>
  <si>
    <t>só água e esgoto; plano previa R$ 203 mi</t>
  </si>
  <si>
    <t>receita_servico_2025</t>
  </si>
  <si>
    <t>plano previa R$ 258 mi</t>
  </si>
  <si>
    <t>despesa_financeira_2025</t>
  </si>
  <si>
    <t>lucro_liquido_2024</t>
  </si>
  <si>
    <t>confere com a notícia</t>
  </si>
  <si>
    <t>lucro_liquido_2025</t>
  </si>
  <si>
    <t>inclui baixa de ~R$ 312 mi no 4T25</t>
  </si>
  <si>
    <t xml:space="preserve">crescimento_economias	</t>
  </si>
  <si>
    <t>crescimento das economias nos anos 20-35 do plano</t>
  </si>
  <si>
    <t>Plano de Negócios BNDES</t>
  </si>
  <si>
    <t>meta_agua</t>
  </si>
  <si>
    <t>ano_meta_agua</t>
  </si>
  <si>
    <t>meta_esgoto</t>
  </si>
  <si>
    <t>ano_meta_esgoto</t>
  </si>
  <si>
    <t>universalização no ano 11</t>
  </si>
  <si>
    <t>ano 18 da concessão</t>
  </si>
  <si>
    <t>inadimplencia_inicial</t>
  </si>
  <si>
    <t>Equatorial 2T26: provisões ÷ receita (1S26)</t>
  </si>
  <si>
    <t>inadimplencia_final</t>
  </si>
  <si>
    <t xml:space="preserve">ano_inadimplencia_final </t>
  </si>
  <si>
    <t xml:space="preserve">ano 15 de operação </t>
  </si>
  <si>
    <t>capex_por_economia_agua</t>
  </si>
  <si>
    <t>R$ por nova economia</t>
  </si>
  <si>
    <t>R$ 0,8 bi ÷ 309 mil novas economias</t>
  </si>
  <si>
    <t>capex_por_economia_esgoto</t>
  </si>
  <si>
    <t>R$ 2,2 bi ÷ 356 mil novas economias</t>
  </si>
  <si>
    <t>capex_manutencao</t>
  </si>
  <si>
    <t>% da receita</t>
  </si>
  <si>
    <t>capex dos anos maduros ÷ receita</t>
  </si>
  <si>
    <t>populacao_2026</t>
  </si>
  <si>
    <t>IBGE, estimativa populacional 2026</t>
  </si>
  <si>
    <t>Soma dos 16 municípios do Amapá (toda a área da concessão)</t>
  </si>
  <si>
    <t>habitantes_por_domicilio</t>
  </si>
  <si>
    <t>habitantes/domicílio</t>
  </si>
  <si>
    <t>Plano de Negócios Referencial BNDES</t>
  </si>
  <si>
    <t>“250 litros por habitante x 3,4 habitantes por residência”</t>
  </si>
  <si>
    <t>adesao_final</t>
  </si>
  <si>
    <t>Meta de adesão “com base em operações privadas”, atingida no ano da universalização da água. O plano assume que o esgoto tem a mesma adesão da água</t>
  </si>
  <si>
    <t>ano_adesao_final</t>
  </si>
  <si>
    <t>Contrato, Anexo III (meta de cobertura de água)</t>
  </si>
  <si>
    <t>Anexo III</t>
  </si>
  <si>
    <t>Anexo I</t>
  </si>
  <si>
    <t>Premissa própria: igual a ano_meta_agua, seguindo a lógica do plano</t>
  </si>
  <si>
    <t>% da população</t>
  </si>
  <si>
    <t>Concessão abrange as zonas urbanas (Plano BNDES, p. 5 e 8)</t>
  </si>
  <si>
    <t>IBGE, Censo 2010, SIDRA Tabela 202</t>
  </si>
  <si>
    <t>taxa_urbanizacao</t>
  </si>
  <si>
    <t>habitantes</t>
  </si>
  <si>
    <t>adesao_final_plano</t>
  </si>
  <si>
    <t>ano_adesao_final_plano</t>
  </si>
  <si>
    <t>Premissa própria</t>
  </si>
  <si>
    <t>Cenário base: melhora gradual da gestão comercial. Histórico 3T22–2T26 mostra rede crescendo mais rápido que a base de clientes</t>
  </si>
  <si>
    <t>Cenário base. Crescimento das economias em 2027 (~8%) próximo ao histórico (7,4% a.a.)</t>
  </si>
  <si>
    <t>participacao_equatorial</t>
  </si>
  <si>
    <t>parcela_opex_fixa</t>
  </si>
  <si>
    <t>% do opex</t>
  </si>
  <si>
    <t>Pessoal ≈ 30% do opex LTM, mais parte de terceiros e outros. Testada em 30% e 70% na seção 6</t>
  </si>
  <si>
    <t>DFs Equatorial 2025, Relatório da Administração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</si>
</sst>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####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vertical="center" wrapText="1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6"/>
  <sheetViews>
    <sheetView tabSelected="1" topLeftCell="B1" workbookViewId="0">
      <pane ySplit="1" topLeftCell="A2" activePane="bottomLeft" state="frozen"/>
      <selection pane="bottomLeft" activeCell="C62" sqref="C62"/>
    </sheetView>
  </sheetViews>
  <sheetFormatPr defaultRowHeight="14.5" x14ac:dyDescent="0.35"/>
  <cols>
    <col min="1" max="1" width="34" customWidth="1"/>
    <col min="2" max="2" width="16" customWidth="1"/>
    <col min="3" max="3" width="32" customWidth="1"/>
    <col min="4" max="4" width="42" customWidth="1"/>
    <col min="5" max="5" width="26" customWidth="1"/>
    <col min="6" max="6" width="64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s="1">
        <v>35</v>
      </c>
      <c r="C2" t="s">
        <v>7</v>
      </c>
      <c r="D2" t="s">
        <v>8</v>
      </c>
      <c r="E2" t="s">
        <v>9</v>
      </c>
    </row>
    <row r="3" spans="1:6" x14ac:dyDescent="0.35">
      <c r="A3" t="s">
        <v>10</v>
      </c>
      <c r="B3" s="1">
        <v>2021</v>
      </c>
      <c r="C3" t="s">
        <v>11</v>
      </c>
      <c r="D3" t="s">
        <v>8</v>
      </c>
      <c r="E3" t="s">
        <v>9</v>
      </c>
      <c r="F3" t="s">
        <v>12</v>
      </c>
    </row>
    <row r="4" spans="1:6" x14ac:dyDescent="0.35">
      <c r="A4" t="s">
        <v>13</v>
      </c>
      <c r="B4" s="1">
        <v>16</v>
      </c>
      <c r="C4" t="s">
        <v>14</v>
      </c>
      <c r="D4" t="s">
        <v>15</v>
      </c>
    </row>
    <row r="5" spans="1:6" x14ac:dyDescent="0.35">
      <c r="A5" t="s">
        <v>16</v>
      </c>
      <c r="B5" s="1">
        <v>50000000</v>
      </c>
      <c r="C5" t="s">
        <v>17</v>
      </c>
      <c r="D5" t="s">
        <v>8</v>
      </c>
      <c r="E5" t="s">
        <v>18</v>
      </c>
      <c r="F5" t="s">
        <v>19</v>
      </c>
    </row>
    <row r="6" spans="1:6" x14ac:dyDescent="0.35">
      <c r="A6" t="s">
        <v>20</v>
      </c>
      <c r="B6" s="1">
        <v>930000000</v>
      </c>
      <c r="C6" t="s">
        <v>17</v>
      </c>
      <c r="D6" t="s">
        <v>21</v>
      </c>
      <c r="F6" t="s">
        <v>22</v>
      </c>
    </row>
    <row r="7" spans="1:6" x14ac:dyDescent="0.35">
      <c r="A7" t="s">
        <v>23</v>
      </c>
      <c r="B7" s="1">
        <v>25</v>
      </c>
      <c r="C7" t="s">
        <v>24</v>
      </c>
      <c r="D7" t="s">
        <v>8</v>
      </c>
      <c r="E7" t="s">
        <v>25</v>
      </c>
      <c r="F7" t="s">
        <v>26</v>
      </c>
    </row>
    <row r="8" spans="1:6" x14ac:dyDescent="0.35">
      <c r="A8" t="s">
        <v>27</v>
      </c>
      <c r="B8" s="1">
        <v>15.5</v>
      </c>
      <c r="C8" t="s">
        <v>24</v>
      </c>
      <c r="D8" t="s">
        <v>8</v>
      </c>
      <c r="E8" t="s">
        <v>25</v>
      </c>
      <c r="F8" t="s">
        <v>28</v>
      </c>
    </row>
    <row r="9" spans="1:6" x14ac:dyDescent="0.35">
      <c r="A9" t="s">
        <v>29</v>
      </c>
      <c r="B9" s="1">
        <v>3</v>
      </c>
      <c r="C9" t="s">
        <v>7</v>
      </c>
      <c r="D9" t="s">
        <v>8</v>
      </c>
      <c r="E9" t="s">
        <v>25</v>
      </c>
    </row>
    <row r="10" spans="1:6" x14ac:dyDescent="0.35">
      <c r="A10" t="s">
        <v>30</v>
      </c>
      <c r="B10" s="1">
        <v>0.89</v>
      </c>
      <c r="C10" t="s">
        <v>31</v>
      </c>
      <c r="D10" t="s">
        <v>8</v>
      </c>
      <c r="E10" t="s">
        <v>32</v>
      </c>
      <c r="F10" t="s">
        <v>33</v>
      </c>
    </row>
    <row r="11" spans="1:6" x14ac:dyDescent="0.35">
      <c r="A11" t="s">
        <v>34</v>
      </c>
      <c r="B11" s="1">
        <v>0.04</v>
      </c>
      <c r="C11" t="s">
        <v>31</v>
      </c>
      <c r="D11" t="s">
        <v>8</v>
      </c>
      <c r="E11" t="s">
        <v>32</v>
      </c>
    </row>
    <row r="12" spans="1:6" x14ac:dyDescent="0.35">
      <c r="A12" t="s">
        <v>35</v>
      </c>
      <c r="B12" s="1">
        <v>2E-3</v>
      </c>
      <c r="C12" t="s">
        <v>31</v>
      </c>
      <c r="D12" t="s">
        <v>8</v>
      </c>
      <c r="E12" t="s">
        <v>32</v>
      </c>
    </row>
    <row r="13" spans="1:6" x14ac:dyDescent="0.35">
      <c r="A13" t="s">
        <v>36</v>
      </c>
      <c r="B13" s="1">
        <v>6.8000000000000005E-2</v>
      </c>
      <c r="C13" t="s">
        <v>31</v>
      </c>
      <c r="D13" t="s">
        <v>8</v>
      </c>
      <c r="E13" t="s">
        <v>32</v>
      </c>
    </row>
    <row r="14" spans="1:6" x14ac:dyDescent="0.35">
      <c r="A14" t="s">
        <v>37</v>
      </c>
      <c r="B14" s="1">
        <v>0.25</v>
      </c>
      <c r="C14" t="s">
        <v>38</v>
      </c>
      <c r="D14" t="s">
        <v>8</v>
      </c>
      <c r="E14" t="s">
        <v>32</v>
      </c>
    </row>
    <row r="15" spans="1:6" x14ac:dyDescent="0.35">
      <c r="A15" t="s">
        <v>39</v>
      </c>
      <c r="B15" s="1">
        <v>2019</v>
      </c>
      <c r="C15" t="s">
        <v>11</v>
      </c>
      <c r="D15" t="s">
        <v>8</v>
      </c>
      <c r="E15" t="s">
        <v>40</v>
      </c>
      <c r="F15" t="s">
        <v>41</v>
      </c>
    </row>
    <row r="16" spans="1:6" x14ac:dyDescent="0.35">
      <c r="A16" t="s">
        <v>42</v>
      </c>
      <c r="B16" s="1">
        <v>10</v>
      </c>
      <c r="C16" t="s">
        <v>43</v>
      </c>
      <c r="D16" t="s">
        <v>8</v>
      </c>
      <c r="E16" t="s">
        <v>40</v>
      </c>
      <c r="F16" t="s">
        <v>44</v>
      </c>
    </row>
    <row r="17" spans="1:6" x14ac:dyDescent="0.35">
      <c r="A17" t="s">
        <v>45</v>
      </c>
      <c r="B17" s="1">
        <v>22.6</v>
      </c>
      <c r="C17" t="s">
        <v>46</v>
      </c>
      <c r="D17" t="s">
        <v>8</v>
      </c>
      <c r="E17" t="s">
        <v>40</v>
      </c>
      <c r="F17" t="s">
        <v>47</v>
      </c>
    </row>
    <row r="18" spans="1:6" x14ac:dyDescent="0.35">
      <c r="A18" t="s">
        <v>48</v>
      </c>
      <c r="B18" s="1">
        <v>2.36</v>
      </c>
      <c r="C18" t="s">
        <v>49</v>
      </c>
      <c r="D18" t="s">
        <v>8</v>
      </c>
      <c r="E18" t="s">
        <v>40</v>
      </c>
      <c r="F18" t="s">
        <v>50</v>
      </c>
    </row>
    <row r="19" spans="1:6" x14ac:dyDescent="0.35">
      <c r="A19" t="s">
        <v>51</v>
      </c>
      <c r="B19" s="1">
        <v>2.67</v>
      </c>
      <c r="C19" t="s">
        <v>49</v>
      </c>
      <c r="D19" t="s">
        <v>8</v>
      </c>
      <c r="E19" t="s">
        <v>40</v>
      </c>
      <c r="F19" t="s">
        <v>50</v>
      </c>
    </row>
    <row r="20" spans="1:6" x14ac:dyDescent="0.35">
      <c r="A20" t="s">
        <v>52</v>
      </c>
      <c r="B20" s="1">
        <v>22.63</v>
      </c>
      <c r="C20" t="s">
        <v>46</v>
      </c>
      <c r="D20" t="s">
        <v>8</v>
      </c>
      <c r="E20" t="s">
        <v>40</v>
      </c>
      <c r="F20" t="s">
        <v>53</v>
      </c>
    </row>
    <row r="21" spans="1:6" x14ac:dyDescent="0.35">
      <c r="A21" t="s">
        <v>54</v>
      </c>
      <c r="B21" s="1">
        <v>3.86</v>
      </c>
      <c r="C21" t="s">
        <v>49</v>
      </c>
      <c r="D21" t="s">
        <v>55</v>
      </c>
      <c r="E21" t="s">
        <v>56</v>
      </c>
      <c r="F21" t="s">
        <v>57</v>
      </c>
    </row>
    <row r="22" spans="1:6" x14ac:dyDescent="0.35">
      <c r="A22" t="s">
        <v>58</v>
      </c>
      <c r="B22" s="1">
        <v>4.03</v>
      </c>
      <c r="C22" t="s">
        <v>49</v>
      </c>
      <c r="D22" t="s">
        <v>55</v>
      </c>
      <c r="E22" t="s">
        <v>56</v>
      </c>
    </row>
    <row r="23" spans="1:6" x14ac:dyDescent="0.35">
      <c r="A23" t="s">
        <v>59</v>
      </c>
      <c r="B23" s="1">
        <v>4.5599999999999996</v>
      </c>
      <c r="C23" t="s">
        <v>49</v>
      </c>
      <c r="D23" t="s">
        <v>55</v>
      </c>
      <c r="E23" t="s">
        <v>56</v>
      </c>
    </row>
    <row r="24" spans="1:6" x14ac:dyDescent="0.35">
      <c r="A24" t="s">
        <v>60</v>
      </c>
      <c r="B24" s="1">
        <v>101.62</v>
      </c>
      <c r="C24" t="s">
        <v>46</v>
      </c>
      <c r="D24" t="s">
        <v>55</v>
      </c>
      <c r="E24" t="s">
        <v>56</v>
      </c>
      <c r="F24" t="s">
        <v>61</v>
      </c>
    </row>
    <row r="25" spans="1:6" x14ac:dyDescent="0.35">
      <c r="A25" t="s">
        <v>62</v>
      </c>
      <c r="B25" s="1">
        <v>1.54</v>
      </c>
      <c r="C25" t="s">
        <v>49</v>
      </c>
      <c r="D25" t="s">
        <v>55</v>
      </c>
      <c r="E25" t="s">
        <v>56</v>
      </c>
    </row>
    <row r="26" spans="1:6" x14ac:dyDescent="0.35">
      <c r="A26" t="s">
        <v>63</v>
      </c>
      <c r="B26" s="1"/>
      <c r="C26" t="s">
        <v>64</v>
      </c>
      <c r="D26" t="s">
        <v>65</v>
      </c>
      <c r="F26" t="s">
        <v>66</v>
      </c>
    </row>
    <row r="27" spans="1:6" x14ac:dyDescent="0.35">
      <c r="A27" t="s">
        <v>67</v>
      </c>
      <c r="B27" s="1">
        <v>0.70650000000000002</v>
      </c>
      <c r="C27" t="s">
        <v>68</v>
      </c>
      <c r="D27" t="s">
        <v>55</v>
      </c>
      <c r="E27" t="s">
        <v>69</v>
      </c>
      <c r="F27" t="s">
        <v>70</v>
      </c>
    </row>
    <row r="28" spans="1:6" x14ac:dyDescent="0.35">
      <c r="A28" t="s">
        <v>71</v>
      </c>
      <c r="B28" s="1">
        <v>0.87719999999999998</v>
      </c>
      <c r="C28" t="s">
        <v>68</v>
      </c>
      <c r="D28" t="s">
        <v>55</v>
      </c>
      <c r="E28" t="s">
        <v>69</v>
      </c>
      <c r="F28" t="s">
        <v>72</v>
      </c>
    </row>
    <row r="29" spans="1:6" x14ac:dyDescent="0.35">
      <c r="A29" t="s">
        <v>73</v>
      </c>
      <c r="B29" s="1">
        <v>1</v>
      </c>
      <c r="C29" t="s">
        <v>74</v>
      </c>
      <c r="D29" t="s">
        <v>55</v>
      </c>
      <c r="E29" t="s">
        <v>56</v>
      </c>
      <c r="F29" t="s">
        <v>75</v>
      </c>
    </row>
    <row r="30" spans="1:6" x14ac:dyDescent="0.35">
      <c r="A30" t="s">
        <v>76</v>
      </c>
      <c r="B30" s="1">
        <v>4.2999999999999997E-2</v>
      </c>
      <c r="C30" t="s">
        <v>77</v>
      </c>
      <c r="D30" t="s">
        <v>8</v>
      </c>
      <c r="E30" t="s">
        <v>78</v>
      </c>
    </row>
    <row r="31" spans="1:6" x14ac:dyDescent="0.35">
      <c r="A31" t="s">
        <v>79</v>
      </c>
      <c r="B31" s="1">
        <v>3.5999999999999997E-2</v>
      </c>
      <c r="C31" t="s">
        <v>77</v>
      </c>
      <c r="D31" t="s">
        <v>8</v>
      </c>
      <c r="E31" t="s">
        <v>78</v>
      </c>
      <c r="F31" t="s">
        <v>80</v>
      </c>
    </row>
    <row r="32" spans="1:6" x14ac:dyDescent="0.35">
      <c r="A32" t="s">
        <v>81</v>
      </c>
      <c r="B32" s="1">
        <v>1.6500000000000001E-2</v>
      </c>
      <c r="C32" t="s">
        <v>82</v>
      </c>
      <c r="D32" t="s">
        <v>8</v>
      </c>
      <c r="E32" t="s">
        <v>83</v>
      </c>
    </row>
    <row r="33" spans="1:6" x14ac:dyDescent="0.35">
      <c r="A33" t="s">
        <v>84</v>
      </c>
      <c r="B33" s="1">
        <v>7.5999999999999998E-2</v>
      </c>
      <c r="C33" t="s">
        <v>82</v>
      </c>
      <c r="D33" t="s">
        <v>8</v>
      </c>
      <c r="E33" t="s">
        <v>83</v>
      </c>
    </row>
    <row r="34" spans="1:6" x14ac:dyDescent="0.35">
      <c r="A34" t="s">
        <v>85</v>
      </c>
      <c r="B34" s="1">
        <v>0.34</v>
      </c>
      <c r="C34" t="s">
        <v>86</v>
      </c>
      <c r="D34" t="s">
        <v>8</v>
      </c>
      <c r="E34" t="s">
        <v>87</v>
      </c>
      <c r="F34" t="s">
        <v>88</v>
      </c>
    </row>
    <row r="35" spans="1:6" x14ac:dyDescent="0.35">
      <c r="A35" t="s">
        <v>89</v>
      </c>
      <c r="B35" s="1">
        <v>3000000000</v>
      </c>
      <c r="C35" t="s">
        <v>17</v>
      </c>
      <c r="D35" t="s">
        <v>15</v>
      </c>
      <c r="F35" t="s">
        <v>90</v>
      </c>
    </row>
    <row r="36" spans="1:6" x14ac:dyDescent="0.35">
      <c r="A36" t="s">
        <v>91</v>
      </c>
      <c r="B36" s="1">
        <v>1000000000</v>
      </c>
      <c r="C36" t="s">
        <v>17</v>
      </c>
      <c r="D36" t="s">
        <v>15</v>
      </c>
    </row>
    <row r="37" spans="1:6" x14ac:dyDescent="0.35">
      <c r="A37" t="s">
        <v>92</v>
      </c>
      <c r="B37" s="1">
        <v>2200000000</v>
      </c>
      <c r="C37" t="s">
        <v>17</v>
      </c>
      <c r="D37" t="s">
        <v>15</v>
      </c>
    </row>
    <row r="38" spans="1:6" x14ac:dyDescent="0.35">
      <c r="A38" t="s">
        <v>93</v>
      </c>
      <c r="B38" s="1">
        <v>0.7</v>
      </c>
      <c r="C38" t="s">
        <v>94</v>
      </c>
      <c r="D38" t="s">
        <v>8</v>
      </c>
      <c r="E38" t="s">
        <v>95</v>
      </c>
      <c r="F38" t="s">
        <v>96</v>
      </c>
    </row>
    <row r="39" spans="1:6" x14ac:dyDescent="0.35">
      <c r="A39" t="s">
        <v>97</v>
      </c>
      <c r="B39" s="1">
        <v>1.3</v>
      </c>
      <c r="C39" t="s">
        <v>98</v>
      </c>
      <c r="D39" t="s">
        <v>8</v>
      </c>
      <c r="E39" t="s">
        <v>95</v>
      </c>
      <c r="F39" t="s">
        <v>99</v>
      </c>
    </row>
    <row r="40" spans="1:6" x14ac:dyDescent="0.35">
      <c r="A40" t="s">
        <v>100</v>
      </c>
      <c r="B40" s="1">
        <v>7.1400000000000005E-2</v>
      </c>
      <c r="C40" t="s">
        <v>101</v>
      </c>
      <c r="D40" t="s">
        <v>102</v>
      </c>
      <c r="F40" t="s">
        <v>103</v>
      </c>
    </row>
    <row r="41" spans="1:6" x14ac:dyDescent="0.35">
      <c r="A41" t="s">
        <v>104</v>
      </c>
      <c r="B41" s="1">
        <v>0.15</v>
      </c>
      <c r="C41" t="s">
        <v>101</v>
      </c>
      <c r="D41" t="s">
        <v>105</v>
      </c>
      <c r="F41" t="s">
        <v>106</v>
      </c>
    </row>
    <row r="42" spans="1:6" x14ac:dyDescent="0.35">
      <c r="A42" t="s">
        <v>107</v>
      </c>
      <c r="B42" s="1">
        <v>3.5000000000000003E-2</v>
      </c>
      <c r="C42" t="s">
        <v>108</v>
      </c>
      <c r="D42" t="s">
        <v>8</v>
      </c>
      <c r="E42" t="s">
        <v>32</v>
      </c>
      <c r="F42" t="s">
        <v>109</v>
      </c>
    </row>
    <row r="43" spans="1:6" x14ac:dyDescent="0.35">
      <c r="A43" t="s">
        <v>110</v>
      </c>
      <c r="B43" s="1">
        <v>670</v>
      </c>
      <c r="C43" t="s">
        <v>111</v>
      </c>
      <c r="D43" t="s">
        <v>112</v>
      </c>
      <c r="E43" t="s">
        <v>113</v>
      </c>
      <c r="F43" t="s">
        <v>114</v>
      </c>
    </row>
    <row r="44" spans="1:6" x14ac:dyDescent="0.35">
      <c r="A44" t="s">
        <v>115</v>
      </c>
      <c r="B44" s="1">
        <v>1413500000</v>
      </c>
      <c r="C44" t="s">
        <v>17</v>
      </c>
      <c r="D44" t="s">
        <v>112</v>
      </c>
      <c r="E44" t="s">
        <v>116</v>
      </c>
      <c r="F44" t="s">
        <v>117</v>
      </c>
    </row>
    <row r="45" spans="1:6" x14ac:dyDescent="0.35">
      <c r="A45" t="s">
        <v>118</v>
      </c>
      <c r="B45" s="1">
        <v>430300000</v>
      </c>
      <c r="C45" t="s">
        <v>17</v>
      </c>
      <c r="D45" t="s">
        <v>112</v>
      </c>
      <c r="E45" t="s">
        <v>113</v>
      </c>
      <c r="F45" t="s">
        <v>119</v>
      </c>
    </row>
    <row r="46" spans="1:6" x14ac:dyDescent="0.35">
      <c r="A46" t="s">
        <v>120</v>
      </c>
      <c r="B46" s="1">
        <v>6.7900000000000002E-2</v>
      </c>
      <c r="C46" t="s">
        <v>121</v>
      </c>
      <c r="D46" t="s">
        <v>112</v>
      </c>
      <c r="E46" t="s">
        <v>122</v>
      </c>
      <c r="F46" t="s">
        <v>123</v>
      </c>
    </row>
    <row r="47" spans="1:6" x14ac:dyDescent="0.35">
      <c r="A47" t="s">
        <v>124</v>
      </c>
      <c r="B47" s="1">
        <v>0.71660000000000001</v>
      </c>
      <c r="C47" t="s">
        <v>68</v>
      </c>
      <c r="D47" t="s">
        <v>112</v>
      </c>
      <c r="E47" t="s">
        <v>125</v>
      </c>
      <c r="F47" t="s">
        <v>126</v>
      </c>
    </row>
    <row r="48" spans="1:6" x14ac:dyDescent="0.35">
      <c r="A48" t="s">
        <v>127</v>
      </c>
      <c r="B48" s="1">
        <v>0.156</v>
      </c>
      <c r="C48" t="s">
        <v>68</v>
      </c>
      <c r="D48" t="s">
        <v>112</v>
      </c>
      <c r="E48" t="s">
        <v>125</v>
      </c>
      <c r="F48" t="s">
        <v>128</v>
      </c>
    </row>
    <row r="49" spans="1:6" x14ac:dyDescent="0.35">
      <c r="A49" t="s">
        <v>129</v>
      </c>
      <c r="B49" s="1">
        <v>0.67249999999999999</v>
      </c>
      <c r="C49" t="s">
        <v>68</v>
      </c>
      <c r="D49" t="s">
        <v>112</v>
      </c>
      <c r="E49" t="s">
        <v>125</v>
      </c>
      <c r="F49" t="s">
        <v>130</v>
      </c>
    </row>
    <row r="50" spans="1:6" x14ac:dyDescent="0.35">
      <c r="A50" t="s">
        <v>131</v>
      </c>
      <c r="B50" s="1">
        <v>93412</v>
      </c>
      <c r="C50" t="s">
        <v>132</v>
      </c>
      <c r="D50" t="s">
        <v>112</v>
      </c>
      <c r="E50" t="s">
        <v>125</v>
      </c>
      <c r="F50" t="s">
        <v>133</v>
      </c>
    </row>
    <row r="51" spans="1:6" x14ac:dyDescent="0.35">
      <c r="A51" t="s">
        <v>134</v>
      </c>
      <c r="B51" s="1">
        <v>18942</v>
      </c>
      <c r="C51" t="s">
        <v>132</v>
      </c>
      <c r="D51" t="s">
        <v>112</v>
      </c>
      <c r="E51" t="s">
        <v>125</v>
      </c>
    </row>
    <row r="52" spans="1:6" x14ac:dyDescent="0.35">
      <c r="A52" t="s">
        <v>135</v>
      </c>
      <c r="B52" s="1">
        <v>95900000</v>
      </c>
      <c r="C52" t="s">
        <v>17</v>
      </c>
      <c r="D52" t="s">
        <v>112</v>
      </c>
      <c r="E52" t="s">
        <v>113</v>
      </c>
      <c r="F52" t="s">
        <v>136</v>
      </c>
    </row>
    <row r="53" spans="1:6" x14ac:dyDescent="0.35">
      <c r="A53" t="s">
        <v>137</v>
      </c>
      <c r="B53" s="1">
        <v>108000000</v>
      </c>
      <c r="C53" t="s">
        <v>17</v>
      </c>
      <c r="D53" t="s">
        <v>112</v>
      </c>
      <c r="E53" t="s">
        <v>113</v>
      </c>
      <c r="F53" t="s">
        <v>138</v>
      </c>
    </row>
    <row r="54" spans="1:6" x14ac:dyDescent="0.35">
      <c r="A54" t="s">
        <v>139</v>
      </c>
      <c r="B54" s="1">
        <v>181200000</v>
      </c>
      <c r="C54" t="s">
        <v>17</v>
      </c>
      <c r="D54" t="s">
        <v>112</v>
      </c>
      <c r="E54" t="s">
        <v>113</v>
      </c>
    </row>
    <row r="55" spans="1:6" x14ac:dyDescent="0.35">
      <c r="A55" t="s">
        <v>140</v>
      </c>
      <c r="B55" s="1">
        <v>-201900000</v>
      </c>
      <c r="C55" t="s">
        <v>17</v>
      </c>
      <c r="D55" t="s">
        <v>112</v>
      </c>
      <c r="E55" t="s">
        <v>113</v>
      </c>
      <c r="F55" t="s">
        <v>141</v>
      </c>
    </row>
    <row r="56" spans="1:6" x14ac:dyDescent="0.35">
      <c r="A56" t="s">
        <v>142</v>
      </c>
      <c r="B56" s="1">
        <v>-486100000</v>
      </c>
      <c r="C56" t="s">
        <v>17</v>
      </c>
      <c r="D56" t="s">
        <v>112</v>
      </c>
      <c r="E56" t="s">
        <v>113</v>
      </c>
      <c r="F56" t="s">
        <v>143</v>
      </c>
    </row>
    <row r="57" spans="1:6" x14ac:dyDescent="0.35">
      <c r="A57" t="s">
        <v>144</v>
      </c>
      <c r="B57" s="2">
        <v>8.5000000000000006E-3</v>
      </c>
      <c r="C57" s="2" t="s">
        <v>108</v>
      </c>
      <c r="D57" t="s">
        <v>146</v>
      </c>
      <c r="E57">
        <v>10</v>
      </c>
      <c r="F57" t="s">
        <v>145</v>
      </c>
    </row>
    <row r="58" spans="1:6" x14ac:dyDescent="0.35">
      <c r="A58" t="s">
        <v>147</v>
      </c>
      <c r="B58" s="1">
        <v>0.99</v>
      </c>
      <c r="C58" t="s">
        <v>68</v>
      </c>
      <c r="D58" t="s">
        <v>146</v>
      </c>
      <c r="E58">
        <v>10</v>
      </c>
    </row>
    <row r="59" spans="1:6" x14ac:dyDescent="0.35">
      <c r="A59" t="s">
        <v>148</v>
      </c>
      <c r="B59" s="1">
        <v>2033</v>
      </c>
      <c r="C59" t="s">
        <v>11</v>
      </c>
      <c r="D59" t="s">
        <v>146</v>
      </c>
      <c r="E59">
        <v>10</v>
      </c>
      <c r="F59" t="s">
        <v>151</v>
      </c>
    </row>
    <row r="60" spans="1:6" x14ac:dyDescent="0.35">
      <c r="A60" t="s">
        <v>149</v>
      </c>
      <c r="B60" s="1">
        <v>0.9</v>
      </c>
      <c r="C60" t="s">
        <v>68</v>
      </c>
      <c r="D60" t="s">
        <v>146</v>
      </c>
      <c r="E60">
        <v>10</v>
      </c>
    </row>
    <row r="61" spans="1:6" x14ac:dyDescent="0.35">
      <c r="A61" t="s">
        <v>150</v>
      </c>
      <c r="B61" s="1">
        <v>2040</v>
      </c>
      <c r="C61" t="s">
        <v>11</v>
      </c>
      <c r="D61" t="s">
        <v>146</v>
      </c>
      <c r="E61">
        <v>10</v>
      </c>
      <c r="F61" t="s">
        <v>152</v>
      </c>
    </row>
    <row r="62" spans="1:6" x14ac:dyDescent="0.35">
      <c r="A62" t="s">
        <v>153</v>
      </c>
      <c r="B62">
        <v>0.188</v>
      </c>
      <c r="C62" t="s">
        <v>68</v>
      </c>
      <c r="D62" t="s">
        <v>154</v>
      </c>
    </row>
    <row r="63" spans="1:6" x14ac:dyDescent="0.35">
      <c r="A63" t="s">
        <v>155</v>
      </c>
      <c r="B63">
        <v>0.1</v>
      </c>
      <c r="C63" t="s">
        <v>68</v>
      </c>
      <c r="D63" t="s">
        <v>146</v>
      </c>
      <c r="E63">
        <v>24</v>
      </c>
    </row>
    <row r="64" spans="1:6" x14ac:dyDescent="0.35">
      <c r="A64" t="s">
        <v>156</v>
      </c>
      <c r="B64" s="1">
        <v>2037</v>
      </c>
      <c r="C64" t="s">
        <v>11</v>
      </c>
      <c r="D64" t="s">
        <v>146</v>
      </c>
      <c r="E64">
        <v>24</v>
      </c>
      <c r="F64" t="s">
        <v>157</v>
      </c>
    </row>
    <row r="65" spans="1:6" x14ac:dyDescent="0.35">
      <c r="A65" t="s">
        <v>158</v>
      </c>
      <c r="B65">
        <v>2587</v>
      </c>
      <c r="C65" t="s">
        <v>159</v>
      </c>
      <c r="D65" t="s">
        <v>146</v>
      </c>
      <c r="E65">
        <v>10</v>
      </c>
      <c r="F65" t="s">
        <v>160</v>
      </c>
    </row>
    <row r="66" spans="1:6" x14ac:dyDescent="0.35">
      <c r="A66" t="s">
        <v>161</v>
      </c>
      <c r="B66">
        <v>6188</v>
      </c>
      <c r="C66" t="s">
        <v>159</v>
      </c>
      <c r="D66" t="s">
        <v>146</v>
      </c>
      <c r="E66">
        <v>10</v>
      </c>
      <c r="F66" t="s">
        <v>162</v>
      </c>
    </row>
    <row r="67" spans="1:6" x14ac:dyDescent="0.35">
      <c r="A67" t="s">
        <v>163</v>
      </c>
      <c r="B67">
        <v>0.04</v>
      </c>
      <c r="C67" t="s">
        <v>164</v>
      </c>
      <c r="D67" t="s">
        <v>146</v>
      </c>
      <c r="E67" t="s">
        <v>178</v>
      </c>
      <c r="F67" t="s">
        <v>165</v>
      </c>
    </row>
    <row r="68" spans="1:6" x14ac:dyDescent="0.35">
      <c r="A68" t="s">
        <v>166</v>
      </c>
      <c r="B68" s="3">
        <v>809953</v>
      </c>
      <c r="C68" t="s">
        <v>184</v>
      </c>
      <c r="D68" t="s">
        <v>167</v>
      </c>
      <c r="F68" t="s">
        <v>168</v>
      </c>
    </row>
    <row r="69" spans="1:6" x14ac:dyDescent="0.35">
      <c r="A69" t="s">
        <v>169</v>
      </c>
      <c r="B69">
        <v>3.4</v>
      </c>
      <c r="C69" t="s">
        <v>170</v>
      </c>
      <c r="D69" t="s">
        <v>171</v>
      </c>
      <c r="E69">
        <v>12</v>
      </c>
      <c r="F69" t="s">
        <v>172</v>
      </c>
    </row>
    <row r="70" spans="1:6" x14ac:dyDescent="0.35">
      <c r="A70" t="s">
        <v>185</v>
      </c>
      <c r="B70">
        <v>0.85</v>
      </c>
      <c r="C70" t="s">
        <v>68</v>
      </c>
      <c r="D70" t="s">
        <v>171</v>
      </c>
      <c r="E70">
        <v>11</v>
      </c>
      <c r="F70" t="s">
        <v>174</v>
      </c>
    </row>
    <row r="71" spans="1:6" x14ac:dyDescent="0.35">
      <c r="A71" t="s">
        <v>186</v>
      </c>
      <c r="B71">
        <v>2033</v>
      </c>
      <c r="C71" t="s">
        <v>11</v>
      </c>
      <c r="D71" t="s">
        <v>176</v>
      </c>
      <c r="E71" t="s">
        <v>177</v>
      </c>
      <c r="F71" t="s">
        <v>179</v>
      </c>
    </row>
    <row r="72" spans="1:6" x14ac:dyDescent="0.35">
      <c r="A72" t="s">
        <v>183</v>
      </c>
      <c r="B72">
        <v>0.89770000000000005</v>
      </c>
      <c r="C72" t="s">
        <v>180</v>
      </c>
      <c r="D72" s="2" t="s">
        <v>182</v>
      </c>
      <c r="E72" s="2"/>
      <c r="F72" t="s">
        <v>181</v>
      </c>
    </row>
    <row r="73" spans="1:6" x14ac:dyDescent="0.35">
      <c r="A73" t="s">
        <v>173</v>
      </c>
      <c r="B73">
        <v>0.7</v>
      </c>
      <c r="C73" t="s">
        <v>68</v>
      </c>
      <c r="D73" t="s">
        <v>187</v>
      </c>
      <c r="F73" t="s">
        <v>188</v>
      </c>
    </row>
    <row r="74" spans="1:6" x14ac:dyDescent="0.35">
      <c r="A74" t="s">
        <v>175</v>
      </c>
      <c r="B74">
        <v>2040</v>
      </c>
      <c r="C74" t="s">
        <v>11</v>
      </c>
      <c r="D74" t="s">
        <v>187</v>
      </c>
      <c r="F74" t="s">
        <v>189</v>
      </c>
    </row>
    <row r="75" spans="1:6" x14ac:dyDescent="0.35">
      <c r="A75" t="s">
        <v>190</v>
      </c>
      <c r="B75">
        <v>0.92059999999999997</v>
      </c>
      <c r="C75" t="s">
        <v>68</v>
      </c>
      <c r="D75" t="s">
        <v>194</v>
      </c>
      <c r="F75" t="s">
        <v>193</v>
      </c>
    </row>
    <row r="76" spans="1:6" x14ac:dyDescent="0.35">
      <c r="A76" t="s">
        <v>191</v>
      </c>
      <c r="B76">
        <v>0.57999999999999996</v>
      </c>
      <c r="C76" t="s">
        <v>192</v>
      </c>
      <c r="D76" t="str">
        <f>D74</f>
        <v>Premissa própria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Luisa Gama</cp:lastModifiedBy>
  <dcterms:created xsi:type="dcterms:W3CDTF">2026-09-29T22:00:04Z</dcterms:created>
  <dcterms:modified xsi:type="dcterms:W3CDTF">2026-10-23T14:33:43Z</dcterms:modified>
</cp:coreProperties>
</file>